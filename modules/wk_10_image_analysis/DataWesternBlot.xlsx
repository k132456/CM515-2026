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mark\Documents\GitHub\CM515-2026\modules\wk_10_image_analysis\"/>
    </mc:Choice>
  </mc:AlternateContent>
  <xr:revisionPtr revIDLastSave="0" documentId="13_ncr:1_{8F1E765E-77A0-4265-80A7-4FF5FCA4EEE1}" xr6:coauthVersionLast="47" xr6:coauthVersionMax="47" xr10:uidLastSave="{00000000-0000-0000-0000-000000000000}"/>
  <bookViews>
    <workbookView xWindow="-108" yWindow="-108" windowWidth="23256" windowHeight="13896" xr2:uid="{E1EB0AB2-9595-4877-B954-BD961B5A8BE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5" i="1" l="1"/>
  <c r="B26" i="1"/>
  <c r="B27" i="1"/>
  <c r="B28" i="1"/>
  <c r="B29" i="1"/>
  <c r="B30" i="1"/>
  <c r="B31" i="1"/>
  <c r="B24" i="1"/>
</calcChain>
</file>

<file path=xl/sharedStrings.xml><?xml version="1.0" encoding="utf-8"?>
<sst xmlns="http://schemas.openxmlformats.org/spreadsheetml/2006/main" count="4" uniqueCount="4">
  <si>
    <t>Control</t>
  </si>
  <si>
    <t>Normalized</t>
  </si>
  <si>
    <t>Lane</t>
  </si>
  <si>
    <t>Area Under Curve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</si>
</sst>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Normalized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1"/>
              <c:pt idx="0">
                <c:v>2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Sheet1!$A$24:$B$24</c15:sqref>
                  </c15:fullRef>
                </c:ext>
              </c:extLst>
              <c:f>Sheet1!$B$24</c:f>
              <c:numCache>
                <c:formatCode>General</c:formatCode>
                <c:ptCount val="1"/>
                <c:pt idx="0">
                  <c:v>1.7528523099674547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6A-4E01-BFB9-D7DC14CE1FB2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Lit>
              <c:ptCount val="1"/>
              <c:pt idx="0">
                <c:v>2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Sheet1!$A$25:$B$25</c15:sqref>
                  </c15:fullRef>
                </c:ext>
              </c:extLst>
              <c:f>Sheet1!$B$25</c:f>
              <c:numCache>
                <c:formatCode>General</c:formatCode>
                <c:ptCount val="1"/>
                <c:pt idx="0">
                  <c:v>0.94320636737988583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B6A-4E01-BFB9-D7DC14CE1FB2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Lit>
              <c:ptCount val="1"/>
              <c:pt idx="0">
                <c:v>2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Sheet1!$A$26:$B$26</c15:sqref>
                  </c15:fullRef>
                </c:ext>
              </c:extLst>
              <c:f>Sheet1!$B$26</c:f>
              <c:numCache>
                <c:formatCode>General</c:formatCode>
                <c:ptCount val="1"/>
                <c:pt idx="0">
                  <c:v>1.1303446248329347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B6A-4E01-BFB9-D7DC14CE1FB2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Lit>
              <c:ptCount val="1"/>
              <c:pt idx="0">
                <c:v>2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Sheet1!$A$27:$B$27</c15:sqref>
                  </c15:fullRef>
                </c:ext>
              </c:extLst>
              <c:f>Sheet1!$B$27</c:f>
              <c:numCache>
                <c:formatCode>General</c:formatCode>
                <c:ptCount val="1"/>
                <c:pt idx="0">
                  <c:v>0.7467449556875454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B6A-4E01-BFB9-D7DC14CE1FB2}"/>
            </c:ext>
          </c:extLst>
        </c:ser>
        <c:ser>
          <c:idx val="4"/>
          <c:order val="4"/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Lit>
              <c:ptCount val="1"/>
              <c:pt idx="0">
                <c:v>2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Sheet1!$A$28:$B$28</c15:sqref>
                  </c15:fullRef>
                </c:ext>
              </c:extLst>
              <c:f>Sheet1!$B$28</c:f>
              <c:numCache>
                <c:formatCode>General</c:formatCode>
                <c:ptCount val="1"/>
                <c:pt idx="0">
                  <c:v>0.18368573518366146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B6A-4E01-BFB9-D7DC14CE1FB2}"/>
            </c:ext>
          </c:extLst>
        </c:ser>
        <c:ser>
          <c:idx val="5"/>
          <c:order val="5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Lit>
              <c:ptCount val="1"/>
              <c:pt idx="0">
                <c:v>2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Sheet1!$A$29:$B$29</c15:sqref>
                  </c15:fullRef>
                </c:ext>
              </c:extLst>
              <c:f>Sheet1!$B$29</c:f>
              <c:numCache>
                <c:formatCode>General</c:formatCode>
                <c:ptCount val="1"/>
                <c:pt idx="0">
                  <c:v>1.1990468854771807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B6A-4E01-BFB9-D7DC14CE1FB2}"/>
            </c:ext>
          </c:extLst>
        </c:ser>
        <c:ser>
          <c:idx val="6"/>
          <c:order val="6"/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Lit>
              <c:ptCount val="1"/>
              <c:pt idx="0">
                <c:v>2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Sheet1!$A$30:$B$30</c15:sqref>
                  </c15:fullRef>
                </c:ext>
              </c:extLst>
              <c:f>Sheet1!$B$30</c:f>
              <c:numCache>
                <c:formatCode>General</c:formatCode>
                <c:ptCount val="1"/>
                <c:pt idx="0">
                  <c:v>0.45257692787858717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B6A-4E01-BFB9-D7DC14CE1FB2}"/>
            </c:ext>
          </c:extLst>
        </c:ser>
        <c:ser>
          <c:idx val="7"/>
          <c:order val="7"/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Lit>
              <c:ptCount val="1"/>
              <c:pt idx="0">
                <c:v>2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Sheet1!$A$31:$B$31</c15:sqref>
                  </c15:fullRef>
                </c:ext>
              </c:extLst>
              <c:f>Sheet1!$B$31</c:f>
              <c:numCache>
                <c:formatCode>General</c:formatCode>
                <c:ptCount val="1"/>
                <c:pt idx="0">
                  <c:v>0.48282565391391857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AB6A-4E01-BFB9-D7DC14CE1F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75619775"/>
        <c:axId val="1175620735"/>
      </c:barChart>
      <c:catAx>
        <c:axId val="11756197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5620735"/>
        <c:crosses val="autoZero"/>
        <c:auto val="1"/>
        <c:lblAlgn val="ctr"/>
        <c:lblOffset val="100"/>
        <c:noMultiLvlLbl val="0"/>
      </c:catAx>
      <c:valAx>
        <c:axId val="11756207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56197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Unnormalized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Sheet1!$A$2</c:f>
              <c:strCache>
                <c:ptCount val="1"/>
                <c:pt idx="0">
                  <c:v>1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Sheet1!$B$1</c:f>
              <c:strCache>
                <c:ptCount val="1"/>
                <c:pt idx="0">
                  <c:v>Area Under Curve</c:v>
                </c:pt>
              </c:strCache>
            </c:strRef>
          </c:cat>
          <c:val>
            <c:numRef>
              <c:f>Sheet1!$B$2</c:f>
              <c:numCache>
                <c:formatCode>General</c:formatCode>
                <c:ptCount val="1"/>
                <c:pt idx="0">
                  <c:v>14733.083000000001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898-4B70-B123-25CDD8151C33}"/>
            </c:ext>
          </c:extLst>
        </c:ser>
        <c:ser>
          <c:idx val="1"/>
          <c:order val="1"/>
          <c:tx>
            <c:strRef>
              <c:f>Sheet1!$A$3</c:f>
              <c:strCache>
                <c:ptCount val="1"/>
                <c:pt idx="0">
                  <c:v>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Sheet1!$B$1</c:f>
              <c:strCache>
                <c:ptCount val="1"/>
                <c:pt idx="0">
                  <c:v>Area Under Curve</c:v>
                </c:pt>
              </c:strCache>
            </c:strRef>
          </c:cat>
          <c:val>
            <c:numRef>
              <c:f>Sheet1!$B$3</c:f>
              <c:numCache>
                <c:formatCode>General</c:formatCode>
                <c:ptCount val="1"/>
                <c:pt idx="0">
                  <c:v>11511.912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898-4B70-B123-25CDD8151C33}"/>
            </c:ext>
          </c:extLst>
        </c:ser>
        <c:ser>
          <c:idx val="2"/>
          <c:order val="2"/>
          <c:tx>
            <c:strRef>
              <c:f>Sheet1!$A$4</c:f>
              <c:strCache>
                <c:ptCount val="1"/>
                <c:pt idx="0">
                  <c:v>3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Sheet1!$B$1</c:f>
              <c:strCache>
                <c:ptCount val="1"/>
                <c:pt idx="0">
                  <c:v>Area Under Curve</c:v>
                </c:pt>
              </c:strCache>
            </c:strRef>
          </c:cat>
          <c:val>
            <c:numRef>
              <c:f>Sheet1!$B$4</c:f>
              <c:numCache>
                <c:formatCode>General</c:formatCode>
                <c:ptCount val="1"/>
                <c:pt idx="0">
                  <c:v>12757.083000000001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898-4B70-B123-25CDD8151C33}"/>
            </c:ext>
          </c:extLst>
        </c:ser>
        <c:ser>
          <c:idx val="3"/>
          <c:order val="3"/>
          <c:tx>
            <c:strRef>
              <c:f>Sheet1!$A$5</c:f>
              <c:strCache>
                <c:ptCount val="1"/>
                <c:pt idx="0">
                  <c:v>4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Sheet1!$B$1</c:f>
              <c:strCache>
                <c:ptCount val="1"/>
                <c:pt idx="0">
                  <c:v>Area Under Curve</c:v>
                </c:pt>
              </c:strCache>
            </c:strRef>
          </c:cat>
          <c:val>
            <c:numRef>
              <c:f>Sheet1!$B$5</c:f>
              <c:numCache>
                <c:formatCode>General</c:formatCode>
                <c:ptCount val="1"/>
                <c:pt idx="0">
                  <c:v>11586.376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898-4B70-B123-25CDD8151C33}"/>
            </c:ext>
          </c:extLst>
        </c:ser>
        <c:ser>
          <c:idx val="4"/>
          <c:order val="4"/>
          <c:tx>
            <c:strRef>
              <c:f>Sheet1!$A$6</c:f>
              <c:strCache>
                <c:ptCount val="1"/>
                <c:pt idx="0">
                  <c:v>5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Sheet1!$B$1</c:f>
              <c:strCache>
                <c:ptCount val="1"/>
                <c:pt idx="0">
                  <c:v>Area Under Curve</c:v>
                </c:pt>
              </c:strCache>
            </c:strRef>
          </c:cat>
          <c:val>
            <c:numRef>
              <c:f>Sheet1!$B$6</c:f>
              <c:numCache>
                <c:formatCode>General</c:formatCode>
                <c:ptCount val="1"/>
                <c:pt idx="0">
                  <c:v>2838.3049999999998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898-4B70-B123-25CDD8151C33}"/>
            </c:ext>
          </c:extLst>
        </c:ser>
        <c:ser>
          <c:idx val="5"/>
          <c:order val="5"/>
          <c:tx>
            <c:strRef>
              <c:f>Sheet1!$A$7</c:f>
              <c:strCache>
                <c:ptCount val="1"/>
                <c:pt idx="0">
                  <c:v>6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Sheet1!$B$1</c:f>
              <c:strCache>
                <c:ptCount val="1"/>
                <c:pt idx="0">
                  <c:v>Area Under Curve</c:v>
                </c:pt>
              </c:strCache>
            </c:strRef>
          </c:cat>
          <c:val>
            <c:numRef>
              <c:f>Sheet1!$B$7</c:f>
              <c:numCache>
                <c:formatCode>General</c:formatCode>
                <c:ptCount val="1"/>
                <c:pt idx="0">
                  <c:v>9836.7900000000009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898-4B70-B123-25CDD8151C33}"/>
            </c:ext>
          </c:extLst>
        </c:ser>
        <c:ser>
          <c:idx val="6"/>
          <c:order val="6"/>
          <c:tx>
            <c:strRef>
              <c:f>Sheet1!$A$8</c:f>
              <c:strCache>
                <c:ptCount val="1"/>
                <c:pt idx="0">
                  <c:v>7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Sheet1!$B$1</c:f>
              <c:strCache>
                <c:ptCount val="1"/>
                <c:pt idx="0">
                  <c:v>Area Under Curve</c:v>
                </c:pt>
              </c:strCache>
            </c:strRef>
          </c:cat>
          <c:val>
            <c:numRef>
              <c:f>Sheet1!$B$8</c:f>
              <c:numCache>
                <c:formatCode>General</c:formatCode>
                <c:ptCount val="1"/>
                <c:pt idx="0">
                  <c:v>7504.0829999999996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898-4B70-B123-25CDD8151C33}"/>
            </c:ext>
          </c:extLst>
        </c:ser>
        <c:ser>
          <c:idx val="7"/>
          <c:order val="7"/>
          <c:tx>
            <c:strRef>
              <c:f>Sheet1!$A$9</c:f>
              <c:strCache>
                <c:ptCount val="1"/>
                <c:pt idx="0">
                  <c:v>8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Sheet1!$B$1</c:f>
              <c:strCache>
                <c:ptCount val="1"/>
                <c:pt idx="0">
                  <c:v>Area Under Curve</c:v>
                </c:pt>
              </c:strCache>
            </c:strRef>
          </c:cat>
          <c:val>
            <c:numRef>
              <c:f>Sheet1!$B$9</c:f>
              <c:numCache>
                <c:formatCode>General</c:formatCode>
                <c:ptCount val="1"/>
                <c:pt idx="0">
                  <c:v>6966.0829999999996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898-4B70-B123-25CDD8151C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89825711"/>
        <c:axId val="1289827151"/>
      </c:barChart>
      <c:catAx>
        <c:axId val="12898257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9827151"/>
        <c:crosses val="autoZero"/>
        <c:auto val="1"/>
        <c:lblAlgn val="ctr"/>
        <c:lblOffset val="100"/>
        <c:noMultiLvlLbl val="0"/>
      </c:catAx>
      <c:valAx>
        <c:axId val="12898271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98257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121920</xdr:colOff>
      <xdr:row>23</xdr:row>
      <xdr:rowOff>110490</xdr:rowOff>
    </xdr:from>
    <xdr:to>
      <xdr:col>19</xdr:col>
      <xdr:colOff>60960</xdr:colOff>
      <xdr:row>43</xdr:row>
      <xdr:rowOff>15240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12507A8-CDB3-8520-23EC-2DDDE91194E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152400</xdr:colOff>
      <xdr:row>1</xdr:row>
      <xdr:rowOff>140970</xdr:rowOff>
    </xdr:from>
    <xdr:to>
      <xdr:col>13</xdr:col>
      <xdr:colOff>457200</xdr:colOff>
      <xdr:row>16</xdr:row>
      <xdr:rowOff>140970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A836B60-C0F7-4B0D-E289-31A4281D4D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48B5FD-D602-42EE-B7E3-AB197C57FF11}">
  <dimension ref="A1:B31"/>
  <sheetViews>
    <sheetView tabSelected="1" workbookViewId="0">
      <selection activeCell="O14" sqref="O14"/>
    </sheetView>
  </sheetViews>
  <sheetFormatPr defaultRowHeight="14.4" x14ac:dyDescent="0.3"/>
  <sheetData>
    <row r="1" spans="1:2" x14ac:dyDescent="0.3">
      <c r="A1" t="s">
        <v>2</v>
      </c>
      <c r="B1" t="s">
        <v>3</v>
      </c>
    </row>
    <row r="2" spans="1:2" x14ac:dyDescent="0.3">
      <c r="A2">
        <v>1</v>
      </c>
      <c r="B2">
        <v>14733.083000000001</v>
      </c>
    </row>
    <row r="3" spans="1:2" x14ac:dyDescent="0.3">
      <c r="A3">
        <v>2</v>
      </c>
      <c r="B3">
        <v>11511.912</v>
      </c>
    </row>
    <row r="4" spans="1:2" x14ac:dyDescent="0.3">
      <c r="A4">
        <v>3</v>
      </c>
      <c r="B4">
        <v>12757.083000000001</v>
      </c>
    </row>
    <row r="5" spans="1:2" x14ac:dyDescent="0.3">
      <c r="A5">
        <v>4</v>
      </c>
      <c r="B5">
        <v>11586.376</v>
      </c>
    </row>
    <row r="6" spans="1:2" x14ac:dyDescent="0.3">
      <c r="A6">
        <v>5</v>
      </c>
      <c r="B6">
        <v>2838.3049999999998</v>
      </c>
    </row>
    <row r="7" spans="1:2" x14ac:dyDescent="0.3">
      <c r="A7">
        <v>6</v>
      </c>
      <c r="B7">
        <v>9836.7900000000009</v>
      </c>
    </row>
    <row r="8" spans="1:2" x14ac:dyDescent="0.3">
      <c r="A8">
        <v>7</v>
      </c>
      <c r="B8">
        <v>7504.0829999999996</v>
      </c>
    </row>
    <row r="9" spans="1:2" x14ac:dyDescent="0.3">
      <c r="A9">
        <v>8</v>
      </c>
      <c r="B9">
        <v>6966.0829999999996</v>
      </c>
    </row>
    <row r="13" spans="1:2" x14ac:dyDescent="0.3">
      <c r="A13" t="s">
        <v>0</v>
      </c>
    </row>
    <row r="14" spans="1:2" x14ac:dyDescent="0.3">
      <c r="A14">
        <v>1</v>
      </c>
      <c r="B14">
        <v>8405.2049999999999</v>
      </c>
    </row>
    <row r="15" spans="1:2" x14ac:dyDescent="0.3">
      <c r="A15">
        <v>2</v>
      </c>
      <c r="B15">
        <v>12205.083000000001</v>
      </c>
    </row>
    <row r="16" spans="1:2" x14ac:dyDescent="0.3">
      <c r="A16">
        <v>3</v>
      </c>
      <c r="B16">
        <v>11286.012000000001</v>
      </c>
    </row>
    <row r="17" spans="1:2" x14ac:dyDescent="0.3">
      <c r="A17">
        <v>4</v>
      </c>
      <c r="B17">
        <v>15515.841</v>
      </c>
    </row>
    <row r="18" spans="1:2" x14ac:dyDescent="0.3">
      <c r="A18">
        <v>5</v>
      </c>
      <c r="B18">
        <v>15451.962</v>
      </c>
    </row>
    <row r="19" spans="1:2" x14ac:dyDescent="0.3">
      <c r="A19">
        <v>6</v>
      </c>
      <c r="B19">
        <v>8203.8410000000003</v>
      </c>
    </row>
    <row r="20" spans="1:2" x14ac:dyDescent="0.3">
      <c r="A20">
        <v>7</v>
      </c>
      <c r="B20">
        <v>16580.79</v>
      </c>
    </row>
    <row r="21" spans="1:2" x14ac:dyDescent="0.3">
      <c r="A21">
        <v>8</v>
      </c>
      <c r="B21">
        <v>14427.74</v>
      </c>
    </row>
    <row r="23" spans="1:2" x14ac:dyDescent="0.3">
      <c r="A23" t="s">
        <v>1</v>
      </c>
    </row>
    <row r="24" spans="1:2" x14ac:dyDescent="0.3">
      <c r="A24">
        <v>1</v>
      </c>
      <c r="B24">
        <f>B2/B14</f>
        <v>1.7528523099674547</v>
      </c>
    </row>
    <row r="25" spans="1:2" x14ac:dyDescent="0.3">
      <c r="A25">
        <v>2</v>
      </c>
      <c r="B25">
        <f t="shared" ref="B25:B31" si="0">B3/B15</f>
        <v>0.94320636737988583</v>
      </c>
    </row>
    <row r="26" spans="1:2" x14ac:dyDescent="0.3">
      <c r="A26">
        <v>3</v>
      </c>
      <c r="B26">
        <f t="shared" si="0"/>
        <v>1.1303446248329347</v>
      </c>
    </row>
    <row r="27" spans="1:2" x14ac:dyDescent="0.3">
      <c r="A27">
        <v>4</v>
      </c>
      <c r="B27">
        <f t="shared" si="0"/>
        <v>0.7467449556875454</v>
      </c>
    </row>
    <row r="28" spans="1:2" x14ac:dyDescent="0.3">
      <c r="A28">
        <v>5</v>
      </c>
      <c r="B28">
        <f t="shared" si="0"/>
        <v>0.18368573518366146</v>
      </c>
    </row>
    <row r="29" spans="1:2" x14ac:dyDescent="0.3">
      <c r="A29">
        <v>6</v>
      </c>
      <c r="B29">
        <f t="shared" si="0"/>
        <v>1.1990468854771807</v>
      </c>
    </row>
    <row r="30" spans="1:2" x14ac:dyDescent="0.3">
      <c r="A30">
        <v>7</v>
      </c>
      <c r="B30">
        <f t="shared" si="0"/>
        <v>0.45257692787858717</v>
      </c>
    </row>
    <row r="31" spans="1:2" x14ac:dyDescent="0.3">
      <c r="A31">
        <v>8</v>
      </c>
      <c r="B31">
        <f t="shared" si="0"/>
        <v>0.48282565391391857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Katherine Markstein</dc:creator>
  <cp:lastModifiedBy>Katherine Markstein</cp:lastModifiedBy>
  <dcterms:created xsi:type="dcterms:W3CDTF">2026-03-30T16:51:42Z</dcterms:created>
  <dcterms:modified xsi:type="dcterms:W3CDTF">2026-03-30T17:17:02Z</dcterms:modified>
</cp:coreProperties>
</file>