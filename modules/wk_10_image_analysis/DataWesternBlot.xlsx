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ark\Documents\GitHub\CM515-2026\modules\wk_10_image_analysis\"/>
    </mc:Choice>
  </mc:AlternateContent>
  <xr:revisionPtr revIDLastSave="0" documentId="13_ncr:1_{A2FCB213-BEAD-4EE5-9F85-42CB23F80B93}" xr6:coauthVersionLast="47" xr6:coauthVersionMax="47" xr10:uidLastSave="{00000000-0000-0000-0000-000000000000}"/>
  <bookViews>
    <workbookView xWindow="-108" yWindow="-108" windowWidth="23256" windowHeight="13896" xr2:uid="{E1EB0AB2-9595-4877-B954-BD961B5A8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7" i="1"/>
  <c r="B28" i="1"/>
  <c r="B29" i="1"/>
  <c r="B30" i="1"/>
  <c r="B31" i="1"/>
  <c r="B32" i="1"/>
  <c r="B25" i="1"/>
</calcChain>
</file>

<file path=xl/sharedStrings.xml><?xml version="1.0" encoding="utf-8"?>
<sst xmlns="http://schemas.openxmlformats.org/spreadsheetml/2006/main" count="6" uniqueCount="4">
  <si>
    <t>Control</t>
  </si>
  <si>
    <t>Normalized</t>
  </si>
  <si>
    <t>Lane</t>
  </si>
  <si>
    <t>Area Under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</si>
</sst>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Sheet1!$A$25:$B$25</c15:sqref>
                  </c15:fullRef>
                </c:ext>
              </c:extLst>
              <c:f>Sheet1!$B$25</c:f>
              <c:numCache>
                <c:formatCode>General</c:formatCode>
                <c:ptCount val="1"/>
                <c:pt idx="0">
                  <c:v>1.7528523099674547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A-4E01-BFB9-D7DC14CE1FB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Sheet1!$A$26:$B$26</c15:sqref>
                  </c15:fullRef>
                </c:ext>
              </c:extLst>
              <c:f>Sheet1!$B$26</c:f>
              <c:numCache>
                <c:formatCode>General</c:formatCode>
                <c:ptCount val="1"/>
                <c:pt idx="0">
                  <c:v>0.94320636737988583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A-4E01-BFB9-D7DC14CE1FB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Sheet1!$A$27:$B$27</c15:sqref>
                  </c15:fullRef>
                </c:ext>
              </c:extLst>
              <c:f>Sheet1!$B$27</c:f>
              <c:numCache>
                <c:formatCode>General</c:formatCode>
                <c:ptCount val="1"/>
                <c:pt idx="0">
                  <c:v>1.1303446248329347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6A-4E01-BFB9-D7DC14CE1FB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Sheet1!$A$28:$B$28</c15:sqref>
                  </c15:fullRef>
                </c:ext>
              </c:extLst>
              <c:f>Sheet1!$B$28</c:f>
              <c:numCache>
                <c:formatCode>General</c:formatCode>
                <c:ptCount val="1"/>
                <c:pt idx="0">
                  <c:v>0.7467449556875454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6A-4E01-BFB9-D7DC14CE1FB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Sheet1!$A$29:$B$29</c15:sqref>
                  </c15:fullRef>
                </c:ext>
              </c:extLst>
              <c:f>Sheet1!$B$29</c:f>
              <c:numCache>
                <c:formatCode>General</c:formatCode>
                <c:ptCount val="1"/>
                <c:pt idx="0">
                  <c:v>0.18368573518366146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6A-4E01-BFB9-D7DC14CE1FB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Sheet1!$A$30:$B$30</c15:sqref>
                  </c15:fullRef>
                </c:ext>
              </c:extLst>
              <c:f>Sheet1!$B$30</c:f>
              <c:numCache>
                <c:formatCode>General</c:formatCode>
                <c:ptCount val="1"/>
                <c:pt idx="0">
                  <c:v>1.1990468854771807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6A-4E01-BFB9-D7DC14CE1FB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Sheet1!$A$31:$B$31</c15:sqref>
                  </c15:fullRef>
                </c:ext>
              </c:extLst>
              <c:f>Sheet1!$B$31</c:f>
              <c:numCache>
                <c:formatCode>General</c:formatCode>
                <c:ptCount val="1"/>
                <c:pt idx="0">
                  <c:v>0.45257692787858717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A-4E01-BFB9-D7DC14CE1FB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Sheet1!$A$32:$B$32</c15:sqref>
                  </c15:fullRef>
                </c:ext>
              </c:extLst>
              <c:f>Sheet1!$B$32</c:f>
              <c:numCache>
                <c:formatCode>General</c:formatCode>
                <c:ptCount val="1"/>
                <c:pt idx="0">
                  <c:v>0.48282565391391857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6A-4E01-BFB9-D7DC14CE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619775"/>
        <c:axId val="1175620735"/>
      </c:barChart>
      <c:catAx>
        <c:axId val="117561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20735"/>
        <c:crosses val="autoZero"/>
        <c:auto val="1"/>
        <c:lblAlgn val="ctr"/>
        <c:lblOffset val="100"/>
        <c:noMultiLvlLbl val="0"/>
      </c:catAx>
      <c:valAx>
        <c:axId val="117562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1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Western</a:t>
            </a:r>
            <a:r>
              <a:rPr lang="en-US" baseline="0"/>
              <a:t> Blot 1 (Not Normalized)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14733.083000000001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8-4B70-B123-25CDD8151C3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11511.912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8-4B70-B123-25CDD8151C3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12757.083000000001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8-4B70-B123-25CDD8151C3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11586.376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98-4B70-B123-25CDD8151C3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2838.3049999999998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98-4B70-B123-25CDD8151C33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9836.7900000000009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98-4B70-B123-25CDD8151C33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Sheet1!$B$8</c:f>
              <c:numCache>
                <c:formatCode>General</c:formatCode>
                <c:ptCount val="1"/>
                <c:pt idx="0">
                  <c:v>7504.0829999999996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98-4B70-B123-25CDD8151C33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cat>
          <c:val>
            <c:numRef>
              <c:f>Sheet1!$B$9</c:f>
              <c:numCache>
                <c:formatCode>General</c:formatCode>
                <c:ptCount val="1"/>
                <c:pt idx="0">
                  <c:v>6966.0829999999996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898-4B70-B123-25CDD8151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825711"/>
        <c:axId val="1289827151"/>
      </c:barChart>
      <c:catAx>
        <c:axId val="128982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827151"/>
        <c:crosses val="autoZero"/>
        <c:auto val="1"/>
        <c:lblAlgn val="ctr"/>
        <c:lblOffset val="100"/>
        <c:noMultiLvlLbl val="0"/>
      </c:catAx>
      <c:valAx>
        <c:axId val="12898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82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Western Blot</a:t>
            </a:r>
            <a:r>
              <a:rPr lang="en-US" baseline="0"/>
              <a:t> 1 (Not Normalized)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Area Under Curve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14733.083000000001</c:v>
                </c:pt>
                <c:pt idx="1">
                  <c:v>11511.912</c:v>
                </c:pt>
                <c:pt idx="2">
                  <c:v>12757.083000000001</c:v>
                </c:pt>
                <c:pt idx="3">
                  <c:v>11586.376</c:v>
                </c:pt>
                <c:pt idx="4">
                  <c:v>2838.3049999999998</c:v>
                </c:pt>
                <c:pt idx="5">
                  <c:v>9836.7900000000009</c:v>
                </c:pt>
                <c:pt idx="6">
                  <c:v>7504.0829999999996</c:v>
                </c:pt>
                <c:pt idx="7">
                  <c:v>6966.0829999999996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0-45A9-945D-256566FB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551007"/>
        <c:axId val="1432562527"/>
      </c:barChart>
      <c:catAx>
        <c:axId val="143255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62527"/>
        <c:crosses val="autoZero"/>
        <c:auto val="1"/>
        <c:lblAlgn val="ctr"/>
        <c:lblOffset val="100"/>
        <c:noMultiLvlLbl val="0"/>
      </c:catAx>
      <c:valAx>
        <c:axId val="14325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Under</a:t>
                </a:r>
                <a:r>
                  <a:rPr lang="en-US" baseline="0"/>
                  <a:t> Curve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5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Western Blot 1 (Normalized to Loading Control)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Area Under Curve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Sheet1!$A$25:$A$32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Sheet1!$B$25:$B$32</c:f>
              <c:numCache>
                <c:formatCode>General</c:formatCode>
                <c:ptCount val="8"/>
                <c:pt idx="0">
                  <c:v>1.7528523099674547</c:v>
                </c:pt>
                <c:pt idx="1">
                  <c:v>0.94320636737988583</c:v>
                </c:pt>
                <c:pt idx="2">
                  <c:v>1.1303446248329347</c:v>
                </c:pt>
                <c:pt idx="3">
                  <c:v>0.7467449556875454</c:v>
                </c:pt>
                <c:pt idx="4">
                  <c:v>0.18368573518366146</c:v>
                </c:pt>
                <c:pt idx="5">
                  <c:v>1.1990468854771807</c:v>
                </c:pt>
                <c:pt idx="6">
                  <c:v>0.45257692787858717</c:v>
                </c:pt>
                <c:pt idx="7">
                  <c:v>0.48282565391391857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E-473D-B944-A8C7667CE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528927"/>
        <c:axId val="1432523167"/>
      </c:barChart>
      <c:catAx>
        <c:axId val="1432528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23167"/>
        <c:crosses val="autoZero"/>
        <c:auto val="1"/>
        <c:lblAlgn val="ctr"/>
        <c:lblOffset val="100"/>
        <c:noMultiLvlLbl val="0"/>
      </c:catAx>
      <c:valAx>
        <c:axId val="14325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Under Curve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52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24</xdr:row>
      <xdr:rowOff>110490</xdr:rowOff>
    </xdr:from>
    <xdr:to>
      <xdr:col>19</xdr:col>
      <xdr:colOff>60960</xdr:colOff>
      <xdr:row>44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2507A8-CDB3-8520-23EC-2DDDE9119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106680</xdr:colOff>
      <xdr:row>1</xdr:row>
      <xdr:rowOff>125730</xdr:rowOff>
    </xdr:from>
    <xdr:to>
      <xdr:col>19</xdr:col>
      <xdr:colOff>411480</xdr:colOff>
      <xdr:row>16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836B60-C0F7-4B0D-E289-31A4281D4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358140</xdr:colOff>
      <xdr:row>1</xdr:row>
      <xdr:rowOff>26670</xdr:rowOff>
    </xdr:from>
    <xdr:to>
      <xdr:col>11</xdr:col>
      <xdr:colOff>53340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F1FDA1-5500-28B2-5E17-0802B631B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396240</xdr:colOff>
      <xdr:row>16</xdr:row>
      <xdr:rowOff>140970</xdr:rowOff>
    </xdr:from>
    <xdr:to>
      <xdr:col>13</xdr:col>
      <xdr:colOff>91440</xdr:colOff>
      <xdr:row>31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64A6C2-7DAE-B109-5949-D0F00141A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8B5FD-D602-42EE-B7E3-AB197C57FF11}">
  <dimension ref="A1:B32"/>
  <sheetViews>
    <sheetView tabSelected="1" workbookViewId="0">
      <selection activeCell="F24" sqref="F24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1</v>
      </c>
      <c r="B2">
        <v>14733.083000000001</v>
      </c>
    </row>
    <row r="3" spans="1:2" x14ac:dyDescent="0.3">
      <c r="A3">
        <v>2</v>
      </c>
      <c r="B3">
        <v>11511.912</v>
      </c>
    </row>
    <row r="4" spans="1:2" x14ac:dyDescent="0.3">
      <c r="A4">
        <v>3</v>
      </c>
      <c r="B4">
        <v>12757.083000000001</v>
      </c>
    </row>
    <row r="5" spans="1:2" x14ac:dyDescent="0.3">
      <c r="A5">
        <v>4</v>
      </c>
      <c r="B5">
        <v>11586.376</v>
      </c>
    </row>
    <row r="6" spans="1:2" x14ac:dyDescent="0.3">
      <c r="A6">
        <v>5</v>
      </c>
      <c r="B6">
        <v>2838.3049999999998</v>
      </c>
    </row>
    <row r="7" spans="1:2" x14ac:dyDescent="0.3">
      <c r="A7">
        <v>6</v>
      </c>
      <c r="B7">
        <v>9836.7900000000009</v>
      </c>
    </row>
    <row r="8" spans="1:2" x14ac:dyDescent="0.3">
      <c r="A8">
        <v>7</v>
      </c>
      <c r="B8">
        <v>7504.0829999999996</v>
      </c>
    </row>
    <row r="9" spans="1:2" x14ac:dyDescent="0.3">
      <c r="A9">
        <v>8</v>
      </c>
      <c r="B9">
        <v>6966.0829999999996</v>
      </c>
    </row>
    <row r="13" spans="1:2" x14ac:dyDescent="0.3">
      <c r="A13" t="s">
        <v>0</v>
      </c>
    </row>
    <row r="14" spans="1:2" x14ac:dyDescent="0.3">
      <c r="A14">
        <v>1</v>
      </c>
      <c r="B14">
        <v>8405.2049999999999</v>
      </c>
    </row>
    <row r="15" spans="1:2" x14ac:dyDescent="0.3">
      <c r="A15">
        <v>2</v>
      </c>
      <c r="B15">
        <v>12205.083000000001</v>
      </c>
    </row>
    <row r="16" spans="1:2" x14ac:dyDescent="0.3">
      <c r="A16">
        <v>3</v>
      </c>
      <c r="B16">
        <v>11286.012000000001</v>
      </c>
    </row>
    <row r="17" spans="1:2" x14ac:dyDescent="0.3">
      <c r="A17">
        <v>4</v>
      </c>
      <c r="B17">
        <v>15515.841</v>
      </c>
    </row>
    <row r="18" spans="1:2" x14ac:dyDescent="0.3">
      <c r="A18">
        <v>5</v>
      </c>
      <c r="B18">
        <v>15451.962</v>
      </c>
    </row>
    <row r="19" spans="1:2" x14ac:dyDescent="0.3">
      <c r="A19">
        <v>6</v>
      </c>
      <c r="B19">
        <v>8203.8410000000003</v>
      </c>
    </row>
    <row r="20" spans="1:2" x14ac:dyDescent="0.3">
      <c r="A20">
        <v>7</v>
      </c>
      <c r="B20">
        <v>16580.79</v>
      </c>
    </row>
    <row r="21" spans="1:2" x14ac:dyDescent="0.3">
      <c r="A21">
        <v>8</v>
      </c>
      <c r="B21">
        <v>14427.74</v>
      </c>
    </row>
    <row r="23" spans="1:2" x14ac:dyDescent="0.3">
      <c r="A23" t="s">
        <v>1</v>
      </c>
    </row>
    <row r="24" spans="1:2" x14ac:dyDescent="0.3">
      <c r="A24" t="s">
        <v>2</v>
      </c>
      <c r="B24" t="s">
        <v>3</v>
      </c>
    </row>
    <row r="25" spans="1:2" x14ac:dyDescent="0.3">
      <c r="A25">
        <v>1</v>
      </c>
      <c r="B25">
        <f>B2/B14</f>
        <v>1.7528523099674547</v>
      </c>
    </row>
    <row r="26" spans="1:2" x14ac:dyDescent="0.3">
      <c r="A26">
        <v>2</v>
      </c>
      <c r="B26">
        <f t="shared" ref="B26:B32" si="0">B3/B15</f>
        <v>0.94320636737988583</v>
      </c>
    </row>
    <row r="27" spans="1:2" x14ac:dyDescent="0.3">
      <c r="A27">
        <v>3</v>
      </c>
      <c r="B27">
        <f t="shared" si="0"/>
        <v>1.1303446248329347</v>
      </c>
    </row>
    <row r="28" spans="1:2" x14ac:dyDescent="0.3">
      <c r="A28">
        <v>4</v>
      </c>
      <c r="B28">
        <f t="shared" si="0"/>
        <v>0.7467449556875454</v>
      </c>
    </row>
    <row r="29" spans="1:2" x14ac:dyDescent="0.3">
      <c r="A29">
        <v>5</v>
      </c>
      <c r="B29">
        <f t="shared" si="0"/>
        <v>0.18368573518366146</v>
      </c>
    </row>
    <row r="30" spans="1:2" x14ac:dyDescent="0.3">
      <c r="A30">
        <v>6</v>
      </c>
      <c r="B30">
        <f t="shared" si="0"/>
        <v>1.1990468854771807</v>
      </c>
    </row>
    <row r="31" spans="1:2" x14ac:dyDescent="0.3">
      <c r="A31">
        <v>7</v>
      </c>
      <c r="B31">
        <f t="shared" si="0"/>
        <v>0.45257692787858717</v>
      </c>
    </row>
    <row r="32" spans="1:2" x14ac:dyDescent="0.3">
      <c r="A32">
        <v>8</v>
      </c>
      <c r="B32">
        <f t="shared" si="0"/>
        <v>0.48282565391391857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Markstein</dc:creator>
  <cp:lastModifiedBy>Katherine Markstein</cp:lastModifiedBy>
  <dcterms:created xsi:type="dcterms:W3CDTF">2026-03-30T16:51:42Z</dcterms:created>
  <dcterms:modified xsi:type="dcterms:W3CDTF">2026-04-12T00:21:44Z</dcterms:modified>
</cp:coreProperties>
</file>